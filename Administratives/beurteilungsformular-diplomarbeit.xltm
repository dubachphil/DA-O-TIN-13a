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Default Extension="emf" ContentType="image/x-emf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7A2D7E96-6E34-419A-AE5F-296B3A7E7977}"/>
  <workbookPr codeName="DieseArbeitsmappe" autoCompressPictures="0"/>
  <bookViews>
    <workbookView xWindow="0" yWindow="0" windowWidth="28800" windowHeight="12440"/>
  </bookViews>
  <sheets>
    <sheet name="DA-Beurteilung" sheetId="16" r:id="rId1"/>
  </sheets>
  <definedNames>
    <definedName name="_xlnm.Print_Area" localSheetId="0">'DA-Beurteilung'!$A$1:$E$55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8" i="16" l="1"/>
  <c r="E27" i="16"/>
  <c r="E35" i="16"/>
  <c r="E43" i="16"/>
  <c r="E40" i="16"/>
  <c r="E38" i="16"/>
  <c r="E39" i="16"/>
  <c r="E41" i="16"/>
  <c r="E42" i="16"/>
  <c r="E34" i="16"/>
  <c r="E33" i="16"/>
  <c r="E32" i="16"/>
  <c r="E31" i="16"/>
  <c r="E30" i="16"/>
  <c r="E26" i="16"/>
  <c r="E24" i="16"/>
  <c r="E23" i="16"/>
  <c r="E25" i="16"/>
  <c r="E22" i="16"/>
  <c r="E21" i="16"/>
  <c r="E17" i="16"/>
  <c r="E16" i="16"/>
  <c r="E15" i="16"/>
  <c r="E14" i="16"/>
  <c r="E11" i="16"/>
  <c r="C54" i="16"/>
  <c r="E45" i="16"/>
  <c r="D49" i="16"/>
</calcChain>
</file>

<file path=xl/sharedStrings.xml><?xml version="1.0" encoding="utf-8"?>
<sst xmlns="http://schemas.openxmlformats.org/spreadsheetml/2006/main" count="111" uniqueCount="101">
  <si>
    <t>Abteilung/Klasse:</t>
  </si>
  <si>
    <t>Name des Diplomlehrers:</t>
  </si>
  <si>
    <t>Name des Diplomexperten:</t>
  </si>
  <si>
    <t>Ort/Datum:</t>
  </si>
  <si>
    <t>Name des Diplomanden:</t>
  </si>
  <si>
    <t>Unterschrift des Diplomlehrers:</t>
  </si>
  <si>
    <t>Unterschrift des Diplomexperten:</t>
  </si>
  <si>
    <t>1. Schwierigkeitsgrad</t>
  </si>
  <si>
    <t>2. Projektinitialisierung und -planung</t>
  </si>
  <si>
    <t>3. Realisierung</t>
  </si>
  <si>
    <t>2.1 Themenbeschreibung</t>
  </si>
  <si>
    <t>4. Dokumentation</t>
  </si>
  <si>
    <t>4.1 Gliederung, Aufbau</t>
  </si>
  <si>
    <t>4.2 Darstellung</t>
  </si>
  <si>
    <t>4.3 Verständlichkeit</t>
  </si>
  <si>
    <t>4.4 Anhang (Quellenangaben etc.)</t>
  </si>
  <si>
    <t>4.5 Inhaltliche Vollständigkeit</t>
  </si>
  <si>
    <t>Bemerkungen</t>
  </si>
  <si>
    <t>Abzug</t>
  </si>
  <si>
    <t>max. Abzug</t>
  </si>
  <si>
    <t>einfach</t>
  </si>
  <si>
    <t>mittel</t>
  </si>
  <si>
    <t>anspruchsvoll</t>
  </si>
  <si>
    <t>schwierig</t>
  </si>
  <si>
    <t>komplex</t>
  </si>
  <si>
    <t>unverständlich</t>
  </si>
  <si>
    <t>verständlich</t>
  </si>
  <si>
    <t>viele Ergänzungen erforderlich</t>
  </si>
  <si>
    <t>wenige Ergänzungen erforderlich</t>
  </si>
  <si>
    <t>makellos</t>
  </si>
  <si>
    <t>nicht messbar</t>
  </si>
  <si>
    <t>mit Ergänzungen messbar</t>
  </si>
  <si>
    <t>ohne Ergänzungen messbar</t>
  </si>
  <si>
    <t>nicht vorhanden</t>
  </si>
  <si>
    <t>hohe Abweichung zur Strukturplanung</t>
  </si>
  <si>
    <t>geringe Abweichung zur Strukturplanung</t>
  </si>
  <si>
    <t>keine Abweichung zur Strukturplanung</t>
  </si>
  <si>
    <t>Mangelpunkte:</t>
  </si>
  <si>
    <t>nicht transparent</t>
  </si>
  <si>
    <t>transparent</t>
  </si>
  <si>
    <t>unklar</t>
  </si>
  <si>
    <t>teilweise nachvollziehbar</t>
  </si>
  <si>
    <t>vollständig nachvollziehbar</t>
  </si>
  <si>
    <t>logisch und nachvollziehbar</t>
  </si>
  <si>
    <t>unvollständig</t>
  </si>
  <si>
    <t>vollständig</t>
  </si>
  <si>
    <t>unlogisch</t>
  </si>
  <si>
    <t>kleine Anpassungen erforderlich</t>
  </si>
  <si>
    <t>logisch</t>
  </si>
  <si>
    <t>nicht leserfreundlich</t>
  </si>
  <si>
    <t>mehrheitlich leserfreundlich</t>
  </si>
  <si>
    <t>leserfreundlich</t>
  </si>
  <si>
    <t>nicht nachvollziehbar</t>
  </si>
  <si>
    <t>erschwert nachvollziehbar</t>
  </si>
  <si>
    <t>nachvollziehbar</t>
  </si>
  <si>
    <t>grobe Lücken</t>
  </si>
  <si>
    <t>kleine Lücken</t>
  </si>
  <si>
    <t>grobe Mängel</t>
  </si>
  <si>
    <t>kleine Mängel</t>
  </si>
  <si>
    <t>keine Mängel</t>
  </si>
  <si>
    <t>nicht verständlich</t>
  </si>
  <si>
    <t xml:space="preserve">falsche Detaillierung </t>
  </si>
  <si>
    <t>ausgewogen</t>
  </si>
  <si>
    <t>unsicher und lückenhaft</t>
  </si>
  <si>
    <t>sicher mit kleinen inhaltlichen Lücken</t>
  </si>
  <si>
    <t>sicher und korrekt</t>
  </si>
  <si>
    <t>Zeit nicht eingehalten</t>
  </si>
  <si>
    <t>Zeit eingehalten</t>
  </si>
  <si>
    <t>TOTAL Abzug:</t>
  </si>
  <si>
    <t>Kompetenzprofil</t>
  </si>
  <si>
    <t>angenommen</t>
  </si>
  <si>
    <t>zurückgewiesen</t>
  </si>
  <si>
    <t>nicht verlangt</t>
  </si>
  <si>
    <t>Diplomnote</t>
  </si>
  <si>
    <t>Höhe des Schwierigkeitsgrades</t>
  </si>
  <si>
    <t>3.1 Analyse, Informationssammlung</t>
  </si>
  <si>
    <t>unklar, unvollständig</t>
  </si>
  <si>
    <t xml:space="preserve"> Bemerkungen in Drop-Down-Lists</t>
  </si>
  <si>
    <t>BEURTEILUNG DIPLOMARBEIT</t>
  </si>
  <si>
    <t>3.6 Reflektion (lessons learnt)</t>
  </si>
  <si>
    <t>3.2 Lösungsweg / Variantenfindung</t>
  </si>
  <si>
    <t>Begründung unklar</t>
  </si>
  <si>
    <t>Begründung teilweise klar</t>
  </si>
  <si>
    <t>Begründung nachvollziehbar</t>
  </si>
  <si>
    <t>vollumfänglich erreicht</t>
  </si>
  <si>
    <t>mehrheitlich erreicht</t>
  </si>
  <si>
    <t>nicht erreicht</t>
  </si>
  <si>
    <t>unzuverlässig</t>
  </si>
  <si>
    <t>seriös und abgeklärt</t>
  </si>
  <si>
    <t>2.4 Ablaufplanung</t>
  </si>
  <si>
    <t>3.5 Kontrolle Zielerreichung</t>
  </si>
  <si>
    <t>5.2 Auftreten, Rhetorik, Verständlichkeit</t>
  </si>
  <si>
    <t>5.3 Inhalt</t>
  </si>
  <si>
    <t>5.4 Beantwortung der Fragen</t>
  </si>
  <si>
    <t>5.5 Zeitverwaltung</t>
  </si>
  <si>
    <t>2.2 Pflichtenheft / Aufgabenabgrenzung / PSP</t>
  </si>
  <si>
    <t>2.3 Zielformulierung / Erfolgskriterien</t>
  </si>
  <si>
    <t>3.3 Begründung der Varianten resp. Lösung</t>
  </si>
  <si>
    <t>3.4 Berechnungen / Wirtschaftlichkeit</t>
  </si>
  <si>
    <t>5. Begleitung / Präsentation</t>
  </si>
  <si>
    <t>5.1 Arbeitsweise (Termine,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</si>
</sst>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_ ;\-0.0\ "/>
    <numFmt numFmtId="166" formatCode="&quot;(Note zählt &quot;0&quot;fach)&quot;;&quot;(Note zählt &quot;0&quot;fach)&quot;;&quot;(Note zählt ...fach)&quot;;&quot;(Note zählt ...fach) &quot;@"/>
    <numFmt numFmtId="167" formatCode="&quot;(Total : &quot;0&quot; = Note)&quot;;&quot;(Total : &quot;0&quot; = Note)&quot;;&quot;(Total : ... = Note)&quot;;&quot;(Total : ... = Note)&quot;"/>
    <numFmt numFmtId="168" formatCode="&quot; Olten, &quot;dd/mm/yyyy"/>
  </numFmts>
  <fonts count="16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0"/>
      <name val="MS Sans Serif"/>
      <family val="2"/>
    </font>
    <font>
      <b/>
      <sz val="18"/>
      <name val="Arial"/>
      <family val="2"/>
    </font>
    <font>
      <sz val="16"/>
      <name val="Arial"/>
      <family val="2"/>
    </font>
    <font>
      <sz val="9"/>
      <name val="Arial"/>
      <family val="2"/>
    </font>
    <font>
      <sz val="10"/>
      <name val="MS Sans Serif"/>
      <family val="2"/>
    </font>
    <font>
      <b/>
      <sz val="9"/>
      <name val="Arial"/>
      <family val="2"/>
    </font>
    <font>
      <sz val="6"/>
      <name val="Arial"/>
      <family val="2"/>
    </font>
    <font>
      <b/>
      <sz val="16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6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 applyAlignment="1">
      <alignment horizontal="right" wrapText="1"/>
    </xf>
    <xf numFmtId="0" fontId="7" fillId="0" borderId="0" xfId="1" applyFont="1"/>
    <xf numFmtId="165" fontId="6" fillId="0" borderId="0" xfId="1" applyNumberFormat="1" applyAlignment="1">
      <alignment horizontal="center"/>
    </xf>
    <xf numFmtId="0" fontId="6" fillId="0" borderId="0" xfId="1"/>
    <xf numFmtId="0" fontId="8" fillId="0" borderId="0" xfId="1" applyFont="1"/>
    <xf numFmtId="0" fontId="9" fillId="0" borderId="0" xfId="1" applyFont="1"/>
    <xf numFmtId="0" fontId="9" fillId="0" borderId="5" xfId="1" applyFont="1" applyBorder="1"/>
    <xf numFmtId="165" fontId="10" fillId="0" borderId="0" xfId="1" applyNumberFormat="1" applyFont="1" applyAlignment="1">
      <alignment horizontal="center"/>
    </xf>
    <xf numFmtId="0" fontId="10" fillId="0" borderId="0" xfId="1" applyFont="1"/>
    <xf numFmtId="165" fontId="6" fillId="0" borderId="0" xfId="1" quotePrefix="1" applyNumberFormat="1" applyAlignment="1">
      <alignment horizontal="center"/>
    </xf>
    <xf numFmtId="165" fontId="6" fillId="0" borderId="0" xfId="1" quotePrefix="1" applyNumberFormat="1" applyFill="1" applyBorder="1" applyAlignment="1">
      <alignment horizontal="center"/>
    </xf>
    <xf numFmtId="0" fontId="10" fillId="0" borderId="0" xfId="1" applyFont="1" applyFill="1" applyBorder="1"/>
    <xf numFmtId="0" fontId="9" fillId="0" borderId="0" xfId="1" applyFont="1" applyBorder="1"/>
    <xf numFmtId="167" fontId="11" fillId="0" borderId="1" xfId="1" applyNumberFormat="1" applyFont="1" applyBorder="1" applyAlignment="1">
      <alignment horizontal="left"/>
    </xf>
    <xf numFmtId="167" fontId="11" fillId="0" borderId="0" xfId="1" applyNumberFormat="1" applyFont="1" applyBorder="1" applyAlignment="1">
      <alignment horizontal="left"/>
    </xf>
    <xf numFmtId="0" fontId="6" fillId="0" borderId="0" xfId="1" applyAlignment="1"/>
    <xf numFmtId="0" fontId="12" fillId="0" borderId="0" xfId="1" applyFont="1" applyAlignment="1">
      <alignment horizontal="right"/>
    </xf>
    <xf numFmtId="0" fontId="9" fillId="0" borderId="5" xfId="1" applyFont="1" applyBorder="1" applyAlignment="1">
      <alignment horizontal="center" vertical="center"/>
    </xf>
    <xf numFmtId="0" fontId="10" fillId="0" borderId="19" xfId="1" applyFont="1" applyBorder="1"/>
    <xf numFmtId="0" fontId="1" fillId="0" borderId="0" xfId="0" applyFont="1" applyBorder="1" applyAlignment="1">
      <alignment vertical="top"/>
    </xf>
    <xf numFmtId="0" fontId="4" fillId="0" borderId="2" xfId="0" applyFont="1" applyBorder="1" applyAlignment="1">
      <alignment horizontal="left"/>
    </xf>
    <xf numFmtId="0" fontId="4" fillId="0" borderId="2" xfId="0" applyFont="1" applyBorder="1" applyAlignment="1">
      <alignment vertical="top"/>
    </xf>
    <xf numFmtId="2" fontId="2" fillId="0" borderId="15" xfId="1" applyNumberFormat="1" applyFont="1" applyBorder="1" applyAlignment="1" applyProtection="1">
      <alignment horizontal="center" vertical="center"/>
    </xf>
    <xf numFmtId="0" fontId="9" fillId="0" borderId="0" xfId="1" applyFont="1" applyAlignment="1">
      <alignment vertical="center"/>
    </xf>
    <xf numFmtId="0" fontId="9" fillId="0" borderId="8" xfId="1" applyFont="1" applyBorder="1" applyAlignment="1">
      <alignment vertical="center"/>
    </xf>
    <xf numFmtId="2" fontId="9" fillId="0" borderId="10" xfId="1" applyNumberFormat="1" applyFont="1" applyBorder="1" applyAlignment="1" applyProtection="1">
      <alignment horizontal="center" vertical="center"/>
    </xf>
    <xf numFmtId="2" fontId="2" fillId="0" borderId="15" xfId="1" applyNumberFormat="1" applyFont="1" applyBorder="1" applyAlignment="1">
      <alignment horizontal="center" vertical="center"/>
    </xf>
    <xf numFmtId="2" fontId="9" fillId="0" borderId="0" xfId="1" applyNumberFormat="1" applyFont="1" applyAlignment="1">
      <alignment vertical="center"/>
    </xf>
    <xf numFmtId="2" fontId="9" fillId="0" borderId="1" xfId="1" applyNumberFormat="1" applyFont="1" applyBorder="1" applyAlignment="1">
      <alignment horizontal="center" vertical="center"/>
    </xf>
    <xf numFmtId="0" fontId="2" fillId="0" borderId="6" xfId="1" applyFont="1" applyBorder="1" applyAlignment="1">
      <alignment vertical="center"/>
    </xf>
    <xf numFmtId="0" fontId="9" fillId="0" borderId="7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14" xfId="1" applyFont="1" applyBorder="1" applyAlignment="1" applyProtection="1">
      <alignment vertical="center"/>
      <protection locked="0"/>
    </xf>
    <xf numFmtId="0" fontId="5" fillId="0" borderId="9" xfId="1" applyFont="1" applyBorder="1" applyAlignment="1">
      <alignment vertical="center"/>
    </xf>
    <xf numFmtId="0" fontId="5" fillId="0" borderId="5" xfId="1" applyFont="1" applyBorder="1" applyAlignment="1" applyProtection="1">
      <alignment vertical="center"/>
      <protection locked="0"/>
    </xf>
    <xf numFmtId="0" fontId="9" fillId="0" borderId="5" xfId="1" applyFont="1" applyBorder="1" applyAlignment="1" applyProtection="1">
      <alignment vertical="center"/>
    </xf>
    <xf numFmtId="0" fontId="9" fillId="0" borderId="5" xfId="1" applyFont="1" applyBorder="1" applyAlignment="1" applyProtection="1">
      <alignment vertical="center"/>
      <protection locked="0"/>
    </xf>
    <xf numFmtId="0" fontId="11" fillId="0" borderId="13" xfId="1" applyFont="1" applyBorder="1" applyAlignment="1">
      <alignment vertical="center"/>
    </xf>
    <xf numFmtId="166" fontId="9" fillId="0" borderId="14" xfId="1" applyNumberFormat="1" applyFont="1" applyBorder="1" applyAlignment="1">
      <alignment horizontal="left" vertical="center"/>
    </xf>
    <xf numFmtId="0" fontId="11" fillId="0" borderId="0" xfId="1" applyFont="1" applyAlignment="1">
      <alignment vertical="center"/>
    </xf>
    <xf numFmtId="0" fontId="5" fillId="0" borderId="9" xfId="1" applyFont="1" applyBorder="1" applyAlignment="1">
      <alignment horizontal="left" vertical="center"/>
    </xf>
    <xf numFmtId="0" fontId="5" fillId="0" borderId="11" xfId="1" applyFont="1" applyBorder="1" applyAlignment="1">
      <alignment vertical="center"/>
    </xf>
    <xf numFmtId="0" fontId="9" fillId="0" borderId="12" xfId="1" applyFont="1" applyBorder="1" applyAlignment="1" applyProtection="1">
      <alignment vertical="center"/>
      <protection locked="0"/>
    </xf>
    <xf numFmtId="0" fontId="2" fillId="0" borderId="3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0" fontId="2" fillId="0" borderId="13" xfId="1" applyFont="1" applyBorder="1" applyAlignment="1">
      <alignment vertical="center"/>
    </xf>
    <xf numFmtId="0" fontId="6" fillId="0" borderId="0" xfId="1" applyFont="1"/>
    <xf numFmtId="168" fontId="4" fillId="0" borderId="4" xfId="0" applyNumberFormat="1" applyFont="1" applyBorder="1" applyAlignment="1">
      <alignment horizontal="left"/>
    </xf>
    <xf numFmtId="0" fontId="13" fillId="0" borderId="0" xfId="1" applyFont="1" applyAlignment="1">
      <alignment horizontal="right" vertical="top" wrapText="1"/>
    </xf>
    <xf numFmtId="0" fontId="3" fillId="0" borderId="0" xfId="1" applyFont="1" applyAlignment="1">
      <alignment horizontal="right" vertical="top"/>
    </xf>
    <xf numFmtId="0" fontId="5" fillId="0" borderId="3" xfId="1" applyFont="1" applyBorder="1" applyAlignment="1">
      <alignment horizontal="right" vertical="center"/>
    </xf>
    <xf numFmtId="0" fontId="5" fillId="0" borderId="16" xfId="1" applyFont="1" applyBorder="1" applyAlignment="1">
      <alignment horizontal="right" vertical="center"/>
    </xf>
    <xf numFmtId="0" fontId="5" fillId="0" borderId="17" xfId="1" applyFont="1" applyBorder="1" applyAlignment="1">
      <alignment horizontal="right" vertical="center"/>
    </xf>
    <xf numFmtId="164" fontId="3" fillId="0" borderId="3" xfId="1" applyNumberFormat="1" applyFont="1" applyBorder="1" applyAlignment="1">
      <alignment horizontal="center" vertical="center"/>
    </xf>
    <xf numFmtId="164" fontId="3" fillId="0" borderId="17" xfId="1" applyNumberFormat="1" applyFont="1" applyBorder="1" applyAlignment="1">
      <alignment horizontal="center" vertical="center"/>
    </xf>
  </cellXfs>
  <cellStyles count="4">
    <cellStyle name="Besuchter Link" xfId="3" builtinId="9" hidden="1"/>
    <cellStyle name="Link" xfId="2" builtinId="8" hidden="1"/>
    <cellStyle name="Standard" xfId="0" builtinId="0"/>
    <cellStyle name="Standard 2" xfId="1"/>
  </cellStyles>
  <dxfs count="3">
    <dxf>
      <fill>
        <patternFill>
          <bgColor rgb="FFFF99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emf"/><Relationship Id="rId3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1466850</xdr:colOff>
      <xdr:row>0</xdr:row>
      <xdr:rowOff>400050</xdr:rowOff>
    </xdr:to>
    <xdr:pic>
      <xdr:nvPicPr>
        <xdr:cNvPr id="2" name="Picture 1" descr="TEKOSchriftbildGra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" y="19050"/>
          <a:ext cx="14573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482600</xdr:colOff>
      <xdr:row>48</xdr:row>
      <xdr:rowOff>25400</xdr:rowOff>
    </xdr:from>
    <xdr:to>
      <xdr:col>6</xdr:col>
      <xdr:colOff>1092200</xdr:colOff>
      <xdr:row>50</xdr:row>
      <xdr:rowOff>25400</xdr:rowOff>
    </xdr:to>
    <xdr:sp macro="" textlink="">
      <xdr:nvSpPr>
        <xdr:cNvPr id="3075" name="CommandButton1" hidden="1">
          <a:extLst>
            <a:ext uri="{63B3BB69-23CF-44E3-9099-C40C66FF867C}">
              <a14:compatExt xmlns:a14="http://schemas.microsoft.com/office/drawing/2010/main" spid="_x0000_s307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508000</xdr:colOff>
      <xdr:row>51</xdr:row>
      <xdr:rowOff>25400</xdr:rowOff>
    </xdr:from>
    <xdr:to>
      <xdr:col>6</xdr:col>
      <xdr:colOff>1092200</xdr:colOff>
      <xdr:row>52</xdr:row>
      <xdr:rowOff>127000</xdr:rowOff>
    </xdr:to>
    <xdr:sp macro="" textlink="">
      <xdr:nvSpPr>
        <xdr:cNvPr id="3076" name="CommandButton2" hidden="1">
          <a:extLst>
            <a:ext uri="{63B3BB69-23CF-44E3-9099-C40C66FF867C}">
              <a14:compatExt xmlns:a14="http://schemas.microsoft.com/office/drawing/2010/main" spid="_x0000_s307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482600</xdr:colOff>
      <xdr:row>48</xdr:row>
      <xdr:rowOff>25400</xdr:rowOff>
    </xdr:from>
    <xdr:to>
      <xdr:col>6</xdr:col>
      <xdr:colOff>1092200</xdr:colOff>
      <xdr:row>50</xdr:row>
      <xdr:rowOff>25400</xdr:rowOff>
    </xdr:to>
    <xdr:pic>
      <xdr:nvPicPr>
        <xdr:cNvPr id="3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3600" y="9156700"/>
          <a:ext cx="1485900" cy="355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508000</xdr:colOff>
      <xdr:row>51</xdr:row>
      <xdr:rowOff>25400</xdr:rowOff>
    </xdr:from>
    <xdr:to>
      <xdr:col>6</xdr:col>
      <xdr:colOff>1092200</xdr:colOff>
      <xdr:row>52</xdr:row>
      <xdr:rowOff>127000</xdr:rowOff>
    </xdr:to>
    <xdr:pic>
      <xdr:nvPicPr>
        <xdr:cNvPr id="4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0" y="9690100"/>
          <a:ext cx="14605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 enableFormatConditionsCalculation="0"/>
  <dimension ref="A1:AB200"/>
  <sheetViews>
    <sheetView showGridLines="0" tabSelected="1" zoomScale="85" zoomScaleNormal="85" zoomScaleSheetLayoutView="100" zoomScalePageLayoutView="85" workbookViewId="0">
      <selection activeCell="C3" sqref="C3"/>
    </sheetView>
  </sheetViews>
  <sheetFormatPr baseColWidth="10" defaultColWidth="11.5" defaultRowHeight="13" x14ac:dyDescent="0"/>
  <cols>
    <col min="1" max="1" width="2.33203125" style="6" customWidth="1"/>
    <col min="2" max="2" width="36.5" style="6" customWidth="1"/>
    <col min="3" max="3" width="35.5" style="6" customWidth="1"/>
    <col min="4" max="4" width="6.5" style="6" customWidth="1"/>
    <col min="5" max="5" width="7.5" style="6" customWidth="1"/>
    <col min="6" max="6" width="11.5" style="3"/>
    <col min="7" max="7" width="34.5" style="4" customWidth="1"/>
    <col min="8" max="8" width="37.5" style="4" customWidth="1"/>
    <col min="9" max="9" width="34.33203125" style="4" customWidth="1"/>
    <col min="10" max="10" width="24.83203125" style="4" bestFit="1" customWidth="1"/>
    <col min="11" max="11" width="26" style="4" bestFit="1" customWidth="1"/>
    <col min="12" max="28" width="11.5" style="4" customWidth="1"/>
    <col min="29" max="16384" width="11.5" style="6"/>
  </cols>
  <sheetData>
    <row r="1" spans="2:28" s="5" customFormat="1" ht="41.5" customHeight="1">
      <c r="B1" s="2"/>
      <c r="C1" s="50" t="s">
        <v>78</v>
      </c>
      <c r="D1" s="51"/>
      <c r="E1" s="51"/>
      <c r="F1" s="3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2:28" ht="13" customHeight="1"/>
    <row r="3" spans="2:28" ht="21" customHeight="1">
      <c r="B3" s="1" t="s">
        <v>4</v>
      </c>
      <c r="C3" s="21"/>
      <c r="D3" s="20"/>
    </row>
    <row r="4" spans="2:28" ht="21" customHeight="1">
      <c r="B4" s="1" t="s">
        <v>0</v>
      </c>
      <c r="C4" s="21"/>
      <c r="D4" s="20"/>
    </row>
    <row r="5" spans="2:28" ht="21" customHeight="1">
      <c r="B5" s="1" t="s">
        <v>1</v>
      </c>
      <c r="C5" s="21"/>
      <c r="D5" s="20"/>
    </row>
    <row r="6" spans="2:28" ht="21" customHeight="1">
      <c r="B6" s="1" t="s">
        <v>2</v>
      </c>
      <c r="C6" s="21"/>
      <c r="D6" s="20"/>
    </row>
    <row r="7" spans="2:28" ht="13" customHeight="1"/>
    <row r="8" spans="2:28" ht="14.75" customHeight="1">
      <c r="C8" s="7" t="s">
        <v>17</v>
      </c>
      <c r="D8" s="7"/>
      <c r="E8" s="18" t="s">
        <v>18</v>
      </c>
      <c r="F8" s="8" t="s">
        <v>19</v>
      </c>
      <c r="G8" s="19" t="s">
        <v>77</v>
      </c>
    </row>
    <row r="9" spans="2:28" ht="8" customHeight="1"/>
    <row r="10" spans="2:28" ht="14.75" customHeight="1">
      <c r="B10" s="30" t="s">
        <v>7</v>
      </c>
      <c r="C10" s="31"/>
      <c r="D10" s="31"/>
      <c r="E10" s="25"/>
    </row>
    <row r="11" spans="2:28" ht="14.75" customHeight="1">
      <c r="B11" s="32" t="s">
        <v>74</v>
      </c>
      <c r="C11" s="33"/>
      <c r="D11" s="33"/>
      <c r="E11" s="23" t="str">
        <f>IF(G11=C11,-0.8,IF(H11=C11,-0.6,IF(I11=C11,-0.4,IF(J11=C11,-0.2,IF(K11=C11,0,"")))))</f>
        <v/>
      </c>
      <c r="F11" s="10">
        <v>-0.8</v>
      </c>
      <c r="G11" s="9" t="s">
        <v>20</v>
      </c>
      <c r="H11" s="9" t="s">
        <v>21</v>
      </c>
      <c r="I11" s="9" t="s">
        <v>22</v>
      </c>
      <c r="J11" s="4" t="s">
        <v>23</v>
      </c>
      <c r="K11" s="4" t="s">
        <v>24</v>
      </c>
    </row>
    <row r="12" spans="2:28" ht="14.75" customHeight="1">
      <c r="B12" s="24"/>
      <c r="C12" s="24"/>
      <c r="D12" s="24"/>
      <c r="E12" s="24"/>
    </row>
    <row r="13" spans="2:28" ht="14.75" customHeight="1">
      <c r="B13" s="30" t="s">
        <v>8</v>
      </c>
      <c r="C13" s="31"/>
      <c r="D13" s="31"/>
      <c r="E13" s="25"/>
    </row>
    <row r="14" spans="2:28" ht="14.75" customHeight="1">
      <c r="B14" s="34" t="s">
        <v>10</v>
      </c>
      <c r="C14" s="35"/>
      <c r="D14" s="35"/>
      <c r="E14" s="26" t="str">
        <f>IF(G14=C14,-0.1,IF(H14=C14,0,""))</f>
        <v/>
      </c>
      <c r="F14" s="10">
        <v>-0.1</v>
      </c>
      <c r="G14" s="9" t="s">
        <v>25</v>
      </c>
      <c r="H14" s="4" t="s">
        <v>26</v>
      </c>
    </row>
    <row r="15" spans="2:28" ht="14.75" customHeight="1">
      <c r="B15" s="34" t="s">
        <v>95</v>
      </c>
      <c r="C15" s="36"/>
      <c r="D15" s="35"/>
      <c r="E15" s="26" t="str">
        <f>IF(G15=C15,-0.2,IF(H15=C15,-0.1,IF(I15=C15,0,"")))</f>
        <v/>
      </c>
      <c r="F15" s="10">
        <v>-0.2</v>
      </c>
      <c r="G15" s="4" t="s">
        <v>27</v>
      </c>
      <c r="H15" s="4" t="s">
        <v>28</v>
      </c>
      <c r="I15" s="4" t="s">
        <v>29</v>
      </c>
    </row>
    <row r="16" spans="2:28" ht="14.75" customHeight="1">
      <c r="B16" s="34" t="s">
        <v>96</v>
      </c>
      <c r="C16" s="37"/>
      <c r="D16" s="35"/>
      <c r="E16" s="26" t="str">
        <f>IF(G16=C16,-0.2,IF(H16=C16,-0.1,IF(I16=C16,0,"")))</f>
        <v/>
      </c>
      <c r="F16" s="11">
        <v>-0.2</v>
      </c>
      <c r="G16" s="9" t="s">
        <v>30</v>
      </c>
      <c r="H16" s="4" t="s">
        <v>31</v>
      </c>
      <c r="I16" s="4" t="s">
        <v>32</v>
      </c>
    </row>
    <row r="17" spans="2:28" ht="14.75" customHeight="1">
      <c r="B17" s="34" t="s">
        <v>89</v>
      </c>
      <c r="C17" s="37"/>
      <c r="D17" s="35"/>
      <c r="E17" s="26" t="str">
        <f>IF(G17=C17,-0.1,IF(H17=C17,-0.07,IF(I17=C17,-0.04,IF(J17=C17,0,""))))</f>
        <v/>
      </c>
      <c r="F17" s="3">
        <v>-0.1</v>
      </c>
      <c r="G17" s="9" t="s">
        <v>33</v>
      </c>
      <c r="H17" s="4" t="s">
        <v>34</v>
      </c>
      <c r="I17" s="4" t="s">
        <v>35</v>
      </c>
      <c r="J17" s="4" t="s">
        <v>36</v>
      </c>
    </row>
    <row r="18" spans="2:28" ht="14.75" customHeight="1">
      <c r="B18" s="38" t="s">
        <v>37</v>
      </c>
      <c r="C18" s="39"/>
      <c r="D18" s="39"/>
      <c r="E18" s="27" t="str">
        <f>IF(COUNTIF(E14:E17,"")=4,"",SUM(E14:E17))</f>
        <v/>
      </c>
    </row>
    <row r="19" spans="2:28" ht="14.75" customHeight="1">
      <c r="B19" s="40"/>
      <c r="C19" s="24"/>
      <c r="D19" s="24"/>
      <c r="E19" s="24"/>
    </row>
    <row r="20" spans="2:28" ht="14.75" customHeight="1">
      <c r="B20" s="30" t="s">
        <v>9</v>
      </c>
      <c r="C20" s="31"/>
      <c r="D20" s="31"/>
      <c r="E20" s="25"/>
    </row>
    <row r="21" spans="2:28" ht="14.75" customHeight="1">
      <c r="B21" s="34" t="s">
        <v>75</v>
      </c>
      <c r="C21" s="37"/>
      <c r="D21" s="37"/>
      <c r="E21" s="26" t="str">
        <f>IF(G21=C21,-0.2,IF(H21=C21,0,""))</f>
        <v/>
      </c>
      <c r="F21" s="11">
        <v>-0.2</v>
      </c>
      <c r="G21" s="48" t="s">
        <v>38</v>
      </c>
      <c r="H21" s="48" t="s">
        <v>39</v>
      </c>
      <c r="I21" s="48"/>
    </row>
    <row r="22" spans="2:28" ht="14.75" customHeight="1">
      <c r="B22" s="41" t="s">
        <v>80</v>
      </c>
      <c r="C22" s="35"/>
      <c r="D22" s="37"/>
      <c r="E22" s="26" t="str">
        <f>IF(G22=C22,-0.2,IF(H22=C22,-0.1,IF(I22=C22,0,"")))</f>
        <v/>
      </c>
      <c r="F22" s="11">
        <v>-0.2</v>
      </c>
      <c r="G22" s="48" t="s">
        <v>40</v>
      </c>
      <c r="H22" s="48" t="s">
        <v>41</v>
      </c>
      <c r="I22" s="48" t="s">
        <v>42</v>
      </c>
      <c r="J22" s="12"/>
    </row>
    <row r="23" spans="2:28" ht="14.75" customHeight="1">
      <c r="B23" s="34" t="s">
        <v>97</v>
      </c>
      <c r="C23" s="37"/>
      <c r="D23" s="37"/>
      <c r="E23" s="26" t="str">
        <f>IF(G23=C23,-0.2,IF(H23=C23,-0.1,IF(I23=C23,0,"")))</f>
        <v/>
      </c>
      <c r="F23" s="11">
        <v>-0.2</v>
      </c>
      <c r="G23" s="48" t="s">
        <v>81</v>
      </c>
      <c r="H23" s="48" t="s">
        <v>82</v>
      </c>
      <c r="I23" s="48" t="s">
        <v>83</v>
      </c>
    </row>
    <row r="24" spans="2:28" s="13" customFormat="1" ht="14.75" customHeight="1">
      <c r="B24" s="34" t="s">
        <v>98</v>
      </c>
      <c r="C24" s="37"/>
      <c r="D24" s="37"/>
      <c r="E24" s="26" t="str">
        <f>IF(G24=C24,-0.4,IF(H24=C24,-0.2,IF(I24=C24,0,"")))</f>
        <v/>
      </c>
      <c r="F24" s="11">
        <v>-0.4</v>
      </c>
      <c r="G24" s="48" t="s">
        <v>76</v>
      </c>
      <c r="H24" s="48" t="s">
        <v>44</v>
      </c>
      <c r="I24" s="48" t="s">
        <v>43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2:28" ht="14.75" customHeight="1">
      <c r="B25" s="41" t="s">
        <v>90</v>
      </c>
      <c r="C25" s="37"/>
      <c r="D25" s="37"/>
      <c r="E25" s="26" t="str">
        <f>IF(G25=C25,-0.2,IF(H25=C25,-0.1,IF(I25=C25,0,"")))</f>
        <v/>
      </c>
      <c r="F25" s="11">
        <v>-0.2</v>
      </c>
      <c r="G25" s="48" t="s">
        <v>86</v>
      </c>
      <c r="H25" s="48" t="s">
        <v>85</v>
      </c>
      <c r="I25" s="48" t="s">
        <v>84</v>
      </c>
      <c r="J25" s="12"/>
    </row>
    <row r="26" spans="2:28" s="13" customFormat="1" ht="14.75" customHeight="1">
      <c r="B26" s="34" t="s">
        <v>79</v>
      </c>
      <c r="C26" s="37"/>
      <c r="D26" s="37"/>
      <c r="E26" s="26" t="str">
        <f>IF(G26=C26,-0.2,IF(H26=C26,-0.1,IF(I26=C26,0,"")))</f>
        <v/>
      </c>
      <c r="F26" s="11">
        <v>-0.2</v>
      </c>
      <c r="G26" s="48" t="s">
        <v>33</v>
      </c>
      <c r="H26" s="48" t="s">
        <v>44</v>
      </c>
      <c r="I26" s="48" t="s">
        <v>45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2:28" ht="14.75" customHeight="1">
      <c r="B27" s="47" t="s">
        <v>37</v>
      </c>
      <c r="C27" s="39"/>
      <c r="D27" s="39"/>
      <c r="E27" s="27" t="str">
        <f>IF(COUNTIF(E21:E26,"")=6,"",SUM(E21:E26))</f>
        <v/>
      </c>
      <c r="G27" s="48"/>
      <c r="H27" s="48"/>
      <c r="I27" s="48"/>
    </row>
    <row r="28" spans="2:28" ht="14.75" customHeight="1">
      <c r="B28" s="40"/>
      <c r="C28" s="24"/>
      <c r="D28" s="24"/>
      <c r="E28" s="24"/>
      <c r="G28" s="48"/>
      <c r="H28" s="48"/>
      <c r="I28" s="48"/>
    </row>
    <row r="29" spans="2:28" ht="14.75" customHeight="1">
      <c r="B29" s="30" t="s">
        <v>11</v>
      </c>
      <c r="C29" s="31"/>
      <c r="D29" s="31"/>
      <c r="E29" s="25"/>
      <c r="G29" s="48"/>
      <c r="H29" s="48"/>
      <c r="I29" s="48"/>
    </row>
    <row r="30" spans="2:28" ht="14.75" customHeight="1">
      <c r="B30" s="34" t="s">
        <v>12</v>
      </c>
      <c r="C30" s="37"/>
      <c r="D30" s="37"/>
      <c r="E30" s="26" t="str">
        <f>IF(G30=C30,-0.2,IF(H30=C30,-0.1,IF(I30=C30,0,"")))</f>
        <v/>
      </c>
      <c r="F30" s="3">
        <v>-0.2</v>
      </c>
      <c r="G30" s="48" t="s">
        <v>46</v>
      </c>
      <c r="H30" s="48" t="s">
        <v>47</v>
      </c>
      <c r="I30" s="48" t="s">
        <v>48</v>
      </c>
      <c r="J30" s="9"/>
      <c r="K30" s="9"/>
    </row>
    <row r="31" spans="2:28" ht="14.75" customHeight="1">
      <c r="B31" s="34" t="s">
        <v>13</v>
      </c>
      <c r="C31" s="37"/>
      <c r="D31" s="37"/>
      <c r="E31" s="26" t="str">
        <f>IF(G31=C31,-0.2,IF(H31=C31,-0.1,IF(I31=C31,0,"")))</f>
        <v/>
      </c>
      <c r="F31" s="11">
        <v>-0.2</v>
      </c>
      <c r="G31" s="48" t="s">
        <v>49</v>
      </c>
      <c r="H31" s="48" t="s">
        <v>50</v>
      </c>
      <c r="I31" s="48" t="s">
        <v>51</v>
      </c>
      <c r="J31" s="9"/>
      <c r="K31" s="9"/>
    </row>
    <row r="32" spans="2:28" ht="14.75" customHeight="1">
      <c r="B32" s="34" t="s">
        <v>14</v>
      </c>
      <c r="C32" s="37"/>
      <c r="D32" s="37"/>
      <c r="E32" s="26" t="str">
        <f>IF(G32=C32,-0.2,IF(H32=C32,-0.1,IF(I32=C32,0,"")))</f>
        <v/>
      </c>
      <c r="F32" s="11">
        <v>-0.2</v>
      </c>
      <c r="G32" s="48" t="s">
        <v>52</v>
      </c>
      <c r="H32" s="48" t="s">
        <v>53</v>
      </c>
      <c r="I32" s="48" t="s">
        <v>54</v>
      </c>
      <c r="J32" s="9"/>
      <c r="K32" s="9"/>
    </row>
    <row r="33" spans="1:11" s="4" customFormat="1" ht="14.75" customHeight="1">
      <c r="A33" s="6"/>
      <c r="B33" s="42" t="s">
        <v>15</v>
      </c>
      <c r="C33" s="43"/>
      <c r="D33" s="37"/>
      <c r="E33" s="26" t="str">
        <f>IF(G33=C33,-0.1,IF(H33=C33,-0.05,IF(I33=C33,0,"")))</f>
        <v/>
      </c>
      <c r="F33" s="3">
        <v>-0.1</v>
      </c>
      <c r="G33" s="48" t="s">
        <v>33</v>
      </c>
      <c r="H33" s="48" t="s">
        <v>44</v>
      </c>
      <c r="I33" s="48" t="s">
        <v>45</v>
      </c>
    </row>
    <row r="34" spans="1:11" s="4" customFormat="1" ht="14.75" customHeight="1">
      <c r="A34" s="6"/>
      <c r="B34" s="34" t="s">
        <v>16</v>
      </c>
      <c r="C34" s="37"/>
      <c r="D34" s="37"/>
      <c r="E34" s="26" t="str">
        <f>IF(G34=C34,-0.2,IF(H34=C34,-0.1,IF(I34=C34,0,"")))</f>
        <v/>
      </c>
      <c r="F34" s="11">
        <v>-0.2</v>
      </c>
      <c r="G34" s="48" t="s">
        <v>55</v>
      </c>
      <c r="H34" s="48" t="s">
        <v>56</v>
      </c>
      <c r="I34" s="48" t="s">
        <v>45</v>
      </c>
      <c r="J34" s="9"/>
      <c r="K34" s="9"/>
    </row>
    <row r="35" spans="1:11" s="4" customFormat="1" ht="14.75" customHeight="1">
      <c r="A35" s="6"/>
      <c r="B35" s="38" t="s">
        <v>37</v>
      </c>
      <c r="C35" s="39"/>
      <c r="D35" s="39"/>
      <c r="E35" s="27" t="str">
        <f>IF(COUNTIF(E30:E34,"")=5,"",SUM(E30:E34))</f>
        <v/>
      </c>
      <c r="F35" s="3"/>
      <c r="G35" s="48"/>
      <c r="H35" s="48"/>
      <c r="I35" s="48"/>
    </row>
    <row r="36" spans="1:11" s="4" customFormat="1" ht="14.75" customHeight="1">
      <c r="A36" s="6"/>
      <c r="B36" s="40"/>
      <c r="C36" s="24"/>
      <c r="D36" s="24"/>
      <c r="E36" s="24"/>
      <c r="F36" s="3"/>
      <c r="G36" s="48"/>
      <c r="H36" s="48"/>
      <c r="I36" s="48"/>
    </row>
    <row r="37" spans="1:11" s="4" customFormat="1" ht="14.75" customHeight="1">
      <c r="A37" s="6"/>
      <c r="B37" s="30" t="s">
        <v>99</v>
      </c>
      <c r="C37" s="31"/>
      <c r="D37" s="31"/>
      <c r="E37" s="25"/>
      <c r="F37" s="3"/>
      <c r="G37" s="48"/>
      <c r="H37" s="48"/>
      <c r="I37" s="48"/>
    </row>
    <row r="38" spans="1:11" s="4" customFormat="1" ht="14.75" customHeight="1">
      <c r="A38" s="6"/>
      <c r="B38" s="34" t="s">
        <v>100</v>
      </c>
      <c r="C38" s="37"/>
      <c r="D38" s="37"/>
      <c r="E38" s="26" t="str">
        <f>IF(G38=C38,-0.2,IF(H38=C38,0,""))</f>
        <v/>
      </c>
      <c r="F38" s="3">
        <v>-0.2</v>
      </c>
      <c r="G38" s="48" t="s">
        <v>87</v>
      </c>
      <c r="H38" s="48" t="s">
        <v>88</v>
      </c>
      <c r="I38" s="48"/>
    </row>
    <row r="39" spans="1:11" s="4" customFormat="1" ht="14.75" customHeight="1">
      <c r="A39" s="6"/>
      <c r="B39" s="34" t="s">
        <v>91</v>
      </c>
      <c r="C39" s="37"/>
      <c r="D39" s="37"/>
      <c r="E39" s="26" t="str">
        <f>IF(G39=C39,-0.2,IF(H39=C39,-0.1,IF(I39=C39,0,"")))</f>
        <v/>
      </c>
      <c r="F39" s="3">
        <v>-0.2</v>
      </c>
      <c r="G39" s="48" t="s">
        <v>57</v>
      </c>
      <c r="H39" s="48" t="s">
        <v>58</v>
      </c>
      <c r="I39" s="48" t="s">
        <v>59</v>
      </c>
    </row>
    <row r="40" spans="1:11" s="4" customFormat="1" ht="14.75" customHeight="1">
      <c r="A40" s="6"/>
      <c r="B40" s="34" t="s">
        <v>92</v>
      </c>
      <c r="C40" s="37"/>
      <c r="D40" s="37"/>
      <c r="E40" s="26" t="str">
        <f>IF(G40=C40,-0.1,IF(H40=C40,-0.05,IF(I40=C40,0,"")))</f>
        <v/>
      </c>
      <c r="F40" s="3">
        <v>-0.1</v>
      </c>
      <c r="G40" s="48" t="s">
        <v>60</v>
      </c>
      <c r="H40" s="48" t="s">
        <v>61</v>
      </c>
      <c r="I40" s="48" t="s">
        <v>62</v>
      </c>
    </row>
    <row r="41" spans="1:11" s="4" customFormat="1" ht="14.75" customHeight="1">
      <c r="A41" s="6"/>
      <c r="B41" s="34" t="s">
        <v>93</v>
      </c>
      <c r="C41" s="37"/>
      <c r="D41" s="37"/>
      <c r="E41" s="26" t="str">
        <f>IF(G41=C41,-0.1,IF(H41=C41,-0.05,IF(I41=C41,0,"")))</f>
        <v/>
      </c>
      <c r="F41" s="3">
        <v>-0.1</v>
      </c>
      <c r="G41" s="48" t="s">
        <v>63</v>
      </c>
      <c r="H41" s="48" t="s">
        <v>64</v>
      </c>
      <c r="I41" s="48" t="s">
        <v>65</v>
      </c>
    </row>
    <row r="42" spans="1:11" s="4" customFormat="1" ht="14.75" customHeight="1">
      <c r="A42" s="6"/>
      <c r="B42" s="42" t="s">
        <v>94</v>
      </c>
      <c r="C42" s="43"/>
      <c r="D42" s="37"/>
      <c r="E42" s="26" t="str">
        <f>IF(G42=C42,-0.2,IF(H42=C42,0,""))</f>
        <v/>
      </c>
      <c r="F42" s="3">
        <v>-0.2</v>
      </c>
      <c r="G42" s="48" t="s">
        <v>66</v>
      </c>
      <c r="H42" s="48" t="s">
        <v>67</v>
      </c>
      <c r="I42" s="48"/>
      <c r="J42" s="12"/>
    </row>
    <row r="43" spans="1:11" s="4" customFormat="1" ht="14.75" customHeight="1">
      <c r="A43" s="6"/>
      <c r="B43" s="38" t="s">
        <v>37</v>
      </c>
      <c r="C43" s="39"/>
      <c r="D43" s="39"/>
      <c r="E43" s="27" t="str">
        <f>IF(COUNTIF(E38:E42,"")=5,"",SUM(E38:E42))</f>
        <v/>
      </c>
      <c r="F43" s="3"/>
      <c r="G43" s="48"/>
      <c r="H43" s="48"/>
      <c r="I43" s="48"/>
    </row>
    <row r="44" spans="1:11" s="4" customFormat="1" ht="14.75" customHeight="1">
      <c r="A44" s="6"/>
      <c r="B44" s="24"/>
      <c r="C44" s="24"/>
      <c r="D44" s="24"/>
      <c r="E44" s="28"/>
      <c r="F44" s="3"/>
    </row>
    <row r="45" spans="1:11" s="4" customFormat="1" ht="14.75" customHeight="1">
      <c r="A45" s="6"/>
      <c r="B45" s="44" t="s">
        <v>68</v>
      </c>
      <c r="C45" s="45"/>
      <c r="D45" s="45"/>
      <c r="E45" s="29" t="str">
        <f>IF((COUNTIF(E11,"")+COUNTIF(E18,"")+COUNTIF(E27,"")+COUNTIF(E35,"")+COUNTIF(E43,""))=5,"",SUMIF(E11,"&lt;&gt;"&amp;"*")+SUMIF(E18,"&lt;&gt;"&amp;"*")+SUMIF(E27,"&lt;&gt;"&amp;"*")+SUMIF(E35,"&lt;&gt;"&amp;"*")+SUMIF(E43,"&lt;&gt;"&amp;"*"))</f>
        <v/>
      </c>
      <c r="F45" s="3"/>
    </row>
    <row r="46" spans="1:11" s="4" customFormat="1" ht="14.75" customHeight="1">
      <c r="A46" s="6"/>
      <c r="B46" s="24"/>
      <c r="C46" s="24"/>
      <c r="D46" s="24"/>
      <c r="E46" s="24"/>
      <c r="F46" s="3"/>
    </row>
    <row r="47" spans="1:11" s="4" customFormat="1" ht="14.75" customHeight="1">
      <c r="A47" s="6"/>
      <c r="B47" s="44" t="s">
        <v>69</v>
      </c>
      <c r="C47" s="52" t="s">
        <v>72</v>
      </c>
      <c r="D47" s="53"/>
      <c r="E47" s="54"/>
      <c r="F47" s="3"/>
      <c r="G47" s="4" t="s">
        <v>70</v>
      </c>
      <c r="H47" s="9" t="s">
        <v>71</v>
      </c>
      <c r="I47" s="12" t="s">
        <v>72</v>
      </c>
    </row>
    <row r="48" spans="1:11" s="4" customFormat="1" ht="14.75" customHeight="1">
      <c r="A48" s="6"/>
      <c r="B48" s="6"/>
      <c r="C48" s="6"/>
      <c r="D48" s="6"/>
      <c r="E48" s="6"/>
      <c r="F48" s="3"/>
    </row>
    <row r="49" spans="1:6" s="4" customFormat="1" ht="14.75" customHeight="1">
      <c r="A49" s="6"/>
      <c r="B49" s="6"/>
      <c r="C49" s="46" t="s">
        <v>73</v>
      </c>
      <c r="D49" s="55" t="str">
        <f>IF((C47=""),"",IF(C47=H47,"keine Note!",IF(E45="","",6+E45)))</f>
        <v/>
      </c>
      <c r="E49" s="56"/>
      <c r="F49" s="3"/>
    </row>
    <row r="50" spans="1:6" s="4" customFormat="1" ht="14.75" customHeight="1">
      <c r="A50" s="6"/>
      <c r="B50" s="6"/>
      <c r="C50" s="14"/>
      <c r="D50" s="13"/>
      <c r="E50" s="13"/>
      <c r="F50" s="3"/>
    </row>
    <row r="51" spans="1:6" s="4" customFormat="1" ht="14.75" customHeight="1">
      <c r="A51" s="6"/>
      <c r="B51" s="6"/>
      <c r="C51" s="15"/>
      <c r="D51" s="13"/>
      <c r="E51" s="13"/>
      <c r="F51" s="3"/>
    </row>
    <row r="52" spans="1:6" s="4" customFormat="1" ht="21" customHeight="1">
      <c r="A52" s="6"/>
      <c r="B52" s="1" t="s">
        <v>5</v>
      </c>
      <c r="C52" s="22"/>
      <c r="D52" s="13"/>
      <c r="E52" s="13"/>
      <c r="F52" s="3"/>
    </row>
    <row r="53" spans="1:6" s="4" customFormat="1" ht="21" customHeight="1">
      <c r="A53" s="6"/>
      <c r="B53" s="1" t="s">
        <v>6</v>
      </c>
      <c r="C53" s="22"/>
      <c r="D53" s="16"/>
      <c r="E53" s="16"/>
      <c r="F53" s="3"/>
    </row>
    <row r="54" spans="1:6" s="4" customFormat="1" ht="21" customHeight="1">
      <c r="A54" s="6"/>
      <c r="B54" s="1" t="s">
        <v>3</v>
      </c>
      <c r="C54" s="49">
        <f ca="1">TODAY()</f>
        <v>42432</v>
      </c>
      <c r="D54" s="16"/>
      <c r="E54" s="16"/>
      <c r="F54" s="3"/>
    </row>
    <row r="55" spans="1:6" s="4" customFormat="1" ht="13" customHeight="1">
      <c r="A55" s="6"/>
      <c r="B55" s="6"/>
      <c r="C55" s="6"/>
      <c r="D55" s="6"/>
      <c r="E55" s="6"/>
      <c r="F55" s="3"/>
    </row>
    <row r="56" spans="1:6" s="4" customFormat="1" ht="13" customHeight="1">
      <c r="A56" s="6"/>
      <c r="B56" s="6"/>
      <c r="C56" s="6"/>
      <c r="D56" s="6"/>
      <c r="E56" s="6"/>
      <c r="F56" s="3"/>
    </row>
    <row r="57" spans="1:6" s="4" customFormat="1" ht="13" customHeight="1">
      <c r="A57" s="6"/>
      <c r="B57" s="6"/>
      <c r="C57" s="6"/>
      <c r="D57" s="6"/>
      <c r="E57" s="17"/>
      <c r="F57" s="3"/>
    </row>
    <row r="58" spans="1:6" s="4" customFormat="1" ht="13.5" customHeight="1">
      <c r="A58" s="6"/>
      <c r="F58" s="3"/>
    </row>
    <row r="59" spans="1:6" s="4" customFormat="1" ht="13.5" customHeight="1">
      <c r="A59" s="6"/>
      <c r="F59" s="3"/>
    </row>
    <row r="60" spans="1:6" s="4" customFormat="1" ht="13.5" customHeight="1">
      <c r="A60" s="6"/>
      <c r="F60" s="3"/>
    </row>
    <row r="61" spans="1:6" s="4" customFormat="1" ht="13.5" customHeight="1">
      <c r="A61" s="6"/>
      <c r="F61" s="3"/>
    </row>
    <row r="62" spans="1:6" s="4" customFormat="1">
      <c r="A62" s="6"/>
      <c r="F62" s="3"/>
    </row>
    <row r="63" spans="1:6" s="4" customFormat="1">
      <c r="A63" s="6"/>
      <c r="F63" s="3"/>
    </row>
    <row r="64" spans="1:6" s="4" customFormat="1">
      <c r="A64" s="6"/>
      <c r="F64" s="3"/>
    </row>
    <row r="65" spans="1:6" s="4" customFormat="1">
      <c r="A65" s="6"/>
      <c r="F65" s="3"/>
    </row>
    <row r="66" spans="1:6" s="4" customFormat="1">
      <c r="F66" s="3"/>
    </row>
    <row r="67" spans="1:6" s="4" customFormat="1">
      <c r="F67" s="3"/>
    </row>
    <row r="68" spans="1:6" s="4" customFormat="1">
      <c r="F68" s="3"/>
    </row>
    <row r="69" spans="1:6" s="4" customFormat="1">
      <c r="F69" s="3"/>
    </row>
    <row r="70" spans="1:6" s="4" customFormat="1">
      <c r="F70" s="3"/>
    </row>
    <row r="71" spans="1:6" s="4" customFormat="1">
      <c r="F71" s="3"/>
    </row>
    <row r="72" spans="1:6" s="4" customFormat="1">
      <c r="F72" s="3"/>
    </row>
    <row r="73" spans="1:6" s="4" customFormat="1">
      <c r="F73" s="3"/>
    </row>
    <row r="74" spans="1:6" s="4" customFormat="1">
      <c r="F74" s="3"/>
    </row>
    <row r="75" spans="1:6" s="4" customFormat="1">
      <c r="F75" s="3"/>
    </row>
    <row r="76" spans="1:6" s="4" customFormat="1">
      <c r="F76" s="3"/>
    </row>
    <row r="77" spans="1:6" s="4" customFormat="1">
      <c r="F77" s="3"/>
    </row>
    <row r="78" spans="1:6" s="4" customFormat="1">
      <c r="F78" s="3"/>
    </row>
    <row r="79" spans="1:6" s="4" customFormat="1">
      <c r="F79" s="3"/>
    </row>
    <row r="80" spans="1:6" s="4" customFormat="1">
      <c r="F80" s="3"/>
    </row>
    <row r="81" spans="6:6" s="4" customFormat="1">
      <c r="F81" s="3"/>
    </row>
    <row r="82" spans="6:6" s="4" customFormat="1">
      <c r="F82" s="3"/>
    </row>
    <row r="83" spans="6:6" s="4" customFormat="1">
      <c r="F83" s="3"/>
    </row>
    <row r="84" spans="6:6" s="4" customFormat="1">
      <c r="F84" s="3"/>
    </row>
    <row r="85" spans="6:6" s="4" customFormat="1">
      <c r="F85" s="3"/>
    </row>
    <row r="86" spans="6:6" s="4" customFormat="1">
      <c r="F86" s="3"/>
    </row>
    <row r="87" spans="6:6" s="4" customFormat="1">
      <c r="F87" s="3"/>
    </row>
    <row r="88" spans="6:6" s="4" customFormat="1">
      <c r="F88" s="3"/>
    </row>
    <row r="89" spans="6:6" s="4" customFormat="1">
      <c r="F89" s="3"/>
    </row>
    <row r="90" spans="6:6" s="4" customFormat="1">
      <c r="F90" s="3"/>
    </row>
    <row r="91" spans="6:6" s="4" customFormat="1">
      <c r="F91" s="3"/>
    </row>
    <row r="92" spans="6:6" s="4" customFormat="1">
      <c r="F92" s="3"/>
    </row>
    <row r="93" spans="6:6" s="4" customFormat="1">
      <c r="F93" s="3"/>
    </row>
    <row r="94" spans="6:6" s="4" customFormat="1">
      <c r="F94" s="3"/>
    </row>
    <row r="95" spans="6:6" s="4" customFormat="1">
      <c r="F95" s="3"/>
    </row>
    <row r="96" spans="6:6" s="4" customFormat="1">
      <c r="F96" s="3"/>
    </row>
    <row r="97" spans="6:6" s="4" customFormat="1">
      <c r="F97" s="3"/>
    </row>
    <row r="98" spans="6:6" s="4" customFormat="1">
      <c r="F98" s="3"/>
    </row>
    <row r="99" spans="6:6" s="4" customFormat="1">
      <c r="F99" s="3"/>
    </row>
    <row r="100" spans="6:6" s="4" customFormat="1">
      <c r="F100" s="3"/>
    </row>
    <row r="101" spans="6:6" s="4" customFormat="1">
      <c r="F101" s="3"/>
    </row>
    <row r="102" spans="6:6" s="4" customFormat="1">
      <c r="F102" s="3"/>
    </row>
    <row r="103" spans="6:6" s="4" customFormat="1">
      <c r="F103" s="3"/>
    </row>
    <row r="104" spans="6:6" s="4" customFormat="1">
      <c r="F104" s="3"/>
    </row>
    <row r="105" spans="6:6" s="4" customFormat="1">
      <c r="F105" s="3"/>
    </row>
    <row r="106" spans="6:6" s="4" customFormat="1">
      <c r="F106" s="3"/>
    </row>
    <row r="107" spans="6:6" s="4" customFormat="1">
      <c r="F107" s="3"/>
    </row>
    <row r="108" spans="6:6" s="4" customFormat="1">
      <c r="F108" s="3"/>
    </row>
    <row r="109" spans="6:6" s="4" customFormat="1">
      <c r="F109" s="3"/>
    </row>
    <row r="110" spans="6:6" s="4" customFormat="1">
      <c r="F110" s="3"/>
    </row>
    <row r="111" spans="6:6" s="4" customFormat="1">
      <c r="F111" s="3"/>
    </row>
    <row r="112" spans="6:6" s="4" customFormat="1">
      <c r="F112" s="3"/>
    </row>
    <row r="113" spans="6:6" s="4" customFormat="1">
      <c r="F113" s="3"/>
    </row>
    <row r="114" spans="6:6" s="4" customFormat="1">
      <c r="F114" s="3"/>
    </row>
    <row r="115" spans="6:6" s="4" customFormat="1">
      <c r="F115" s="3"/>
    </row>
    <row r="116" spans="6:6" s="4" customFormat="1">
      <c r="F116" s="3"/>
    </row>
    <row r="117" spans="6:6" s="4" customFormat="1">
      <c r="F117" s="3"/>
    </row>
    <row r="118" spans="6:6" s="4" customFormat="1">
      <c r="F118" s="3"/>
    </row>
    <row r="119" spans="6:6" s="4" customFormat="1">
      <c r="F119" s="3"/>
    </row>
    <row r="120" spans="6:6" s="4" customFormat="1">
      <c r="F120" s="3"/>
    </row>
    <row r="121" spans="6:6" s="4" customFormat="1">
      <c r="F121" s="3"/>
    </row>
    <row r="122" spans="6:6" s="4" customFormat="1">
      <c r="F122" s="3"/>
    </row>
    <row r="123" spans="6:6" s="4" customFormat="1">
      <c r="F123" s="3"/>
    </row>
    <row r="124" spans="6:6" s="4" customFormat="1">
      <c r="F124" s="3"/>
    </row>
    <row r="125" spans="6:6" s="4" customFormat="1">
      <c r="F125" s="3"/>
    </row>
    <row r="126" spans="6:6" s="4" customFormat="1">
      <c r="F126" s="3"/>
    </row>
    <row r="127" spans="6:6" s="4" customFormat="1">
      <c r="F127" s="3"/>
    </row>
    <row r="128" spans="6:6" s="4" customFormat="1">
      <c r="F128" s="3"/>
    </row>
    <row r="129" spans="6:6" s="4" customFormat="1">
      <c r="F129" s="3"/>
    </row>
    <row r="130" spans="6:6" s="4" customFormat="1">
      <c r="F130" s="3"/>
    </row>
    <row r="131" spans="6:6" s="4" customFormat="1">
      <c r="F131" s="3"/>
    </row>
    <row r="132" spans="6:6" s="4" customFormat="1">
      <c r="F132" s="3"/>
    </row>
    <row r="133" spans="6:6" s="4" customFormat="1">
      <c r="F133" s="3"/>
    </row>
    <row r="134" spans="6:6" s="4" customFormat="1">
      <c r="F134" s="3"/>
    </row>
    <row r="135" spans="6:6" s="4" customFormat="1">
      <c r="F135" s="3"/>
    </row>
    <row r="136" spans="6:6" s="4" customFormat="1">
      <c r="F136" s="3"/>
    </row>
    <row r="137" spans="6:6" s="4" customFormat="1">
      <c r="F137" s="3"/>
    </row>
    <row r="138" spans="6:6" s="4" customFormat="1">
      <c r="F138" s="3"/>
    </row>
    <row r="139" spans="6:6" s="4" customFormat="1">
      <c r="F139" s="3"/>
    </row>
    <row r="140" spans="6:6" s="4" customFormat="1">
      <c r="F140" s="3"/>
    </row>
    <row r="141" spans="6:6" s="4" customFormat="1">
      <c r="F141" s="3"/>
    </row>
    <row r="142" spans="6:6" s="4" customFormat="1">
      <c r="F142" s="3"/>
    </row>
    <row r="143" spans="6:6" s="4" customFormat="1">
      <c r="F143" s="3"/>
    </row>
    <row r="144" spans="6:6" s="4" customFormat="1">
      <c r="F144" s="3"/>
    </row>
    <row r="145" spans="6:6" s="4" customFormat="1">
      <c r="F145" s="3"/>
    </row>
    <row r="146" spans="6:6" s="4" customFormat="1">
      <c r="F146" s="3"/>
    </row>
    <row r="147" spans="6:6" s="4" customFormat="1">
      <c r="F147" s="3"/>
    </row>
    <row r="148" spans="6:6" s="4" customFormat="1">
      <c r="F148" s="3"/>
    </row>
    <row r="149" spans="6:6" s="4" customFormat="1">
      <c r="F149" s="3"/>
    </row>
    <row r="150" spans="6:6" s="4" customFormat="1">
      <c r="F150" s="3"/>
    </row>
    <row r="151" spans="6:6" s="4" customFormat="1">
      <c r="F151" s="3"/>
    </row>
    <row r="152" spans="6:6" s="4" customFormat="1">
      <c r="F152" s="3"/>
    </row>
    <row r="153" spans="6:6" s="4" customFormat="1">
      <c r="F153" s="3"/>
    </row>
    <row r="154" spans="6:6" s="4" customFormat="1">
      <c r="F154" s="3"/>
    </row>
    <row r="155" spans="6:6" s="4" customFormat="1">
      <c r="F155" s="3"/>
    </row>
    <row r="156" spans="6:6" s="4" customFormat="1">
      <c r="F156" s="3"/>
    </row>
    <row r="157" spans="6:6" s="4" customFormat="1">
      <c r="F157" s="3"/>
    </row>
    <row r="158" spans="6:6" s="4" customFormat="1">
      <c r="F158" s="3"/>
    </row>
    <row r="159" spans="6:6" s="4" customFormat="1">
      <c r="F159" s="3"/>
    </row>
    <row r="160" spans="6:6" s="4" customFormat="1">
      <c r="F160" s="3"/>
    </row>
    <row r="161" spans="6:6" s="4" customFormat="1">
      <c r="F161" s="3"/>
    </row>
    <row r="162" spans="6:6" s="4" customFormat="1">
      <c r="F162" s="3"/>
    </row>
    <row r="163" spans="6:6" s="4" customFormat="1">
      <c r="F163" s="3"/>
    </row>
    <row r="164" spans="6:6" s="4" customFormat="1">
      <c r="F164" s="3"/>
    </row>
    <row r="165" spans="6:6" s="4" customFormat="1">
      <c r="F165" s="3"/>
    </row>
    <row r="166" spans="6:6" s="4" customFormat="1">
      <c r="F166" s="3"/>
    </row>
    <row r="167" spans="6:6" s="4" customFormat="1">
      <c r="F167" s="3"/>
    </row>
    <row r="168" spans="6:6" s="4" customFormat="1">
      <c r="F168" s="3"/>
    </row>
    <row r="169" spans="6:6" s="4" customFormat="1">
      <c r="F169" s="3"/>
    </row>
    <row r="170" spans="6:6" s="4" customFormat="1">
      <c r="F170" s="3"/>
    </row>
    <row r="171" spans="6:6" s="4" customFormat="1">
      <c r="F171" s="3"/>
    </row>
    <row r="172" spans="6:6" s="4" customFormat="1">
      <c r="F172" s="3"/>
    </row>
    <row r="173" spans="6:6" s="4" customFormat="1">
      <c r="F173" s="3"/>
    </row>
    <row r="174" spans="6:6" s="4" customFormat="1">
      <c r="F174" s="3"/>
    </row>
    <row r="175" spans="6:6" s="4" customFormat="1">
      <c r="F175" s="3"/>
    </row>
    <row r="176" spans="6:6" s="4" customFormat="1">
      <c r="F176" s="3"/>
    </row>
    <row r="177" spans="6:6" s="4" customFormat="1">
      <c r="F177" s="3"/>
    </row>
    <row r="178" spans="6:6" s="4" customFormat="1">
      <c r="F178" s="3"/>
    </row>
    <row r="179" spans="6:6" s="4" customFormat="1">
      <c r="F179" s="3"/>
    </row>
    <row r="180" spans="6:6" s="4" customFormat="1">
      <c r="F180" s="3"/>
    </row>
    <row r="181" spans="6:6" s="4" customFormat="1">
      <c r="F181" s="3"/>
    </row>
    <row r="182" spans="6:6" s="4" customFormat="1">
      <c r="F182" s="3"/>
    </row>
    <row r="183" spans="6:6" s="4" customFormat="1">
      <c r="F183" s="3"/>
    </row>
    <row r="184" spans="6:6" s="4" customFormat="1">
      <c r="F184" s="3"/>
    </row>
    <row r="185" spans="6:6" s="4" customFormat="1">
      <c r="F185" s="3"/>
    </row>
    <row r="186" spans="6:6" s="4" customFormat="1">
      <c r="F186" s="3"/>
    </row>
    <row r="187" spans="6:6" s="4" customFormat="1">
      <c r="F187" s="3"/>
    </row>
    <row r="188" spans="6:6" s="4" customFormat="1">
      <c r="F188" s="3"/>
    </row>
    <row r="189" spans="6:6" s="4" customFormat="1">
      <c r="F189" s="3"/>
    </row>
    <row r="190" spans="6:6" s="4" customFormat="1">
      <c r="F190" s="3"/>
    </row>
    <row r="191" spans="6:6" s="4" customFormat="1">
      <c r="F191" s="3"/>
    </row>
    <row r="192" spans="6:6" s="4" customFormat="1">
      <c r="F192" s="3"/>
    </row>
    <row r="193" spans="6:6" s="4" customFormat="1">
      <c r="F193" s="3"/>
    </row>
    <row r="194" spans="6:6" s="4" customFormat="1">
      <c r="F194" s="3"/>
    </row>
    <row r="195" spans="6:6" s="4" customFormat="1">
      <c r="F195" s="3"/>
    </row>
    <row r="196" spans="6:6" s="4" customFormat="1">
      <c r="F196" s="3"/>
    </row>
    <row r="197" spans="6:6" s="4" customFormat="1">
      <c r="F197" s="3"/>
    </row>
    <row r="198" spans="6:6" s="4" customFormat="1">
      <c r="F198" s="3"/>
    </row>
    <row r="199" spans="6:6" s="4" customFormat="1">
      <c r="F199" s="3"/>
    </row>
    <row r="200" spans="6:6" s="4" customFormat="1">
      <c r="F200" s="3"/>
    </row>
  </sheetData>
  <sheetProtection selectLockedCells="1"/>
  <mergeCells count="3">
    <mergeCell ref="C1:E1"/>
    <mergeCell ref="C47:E47"/>
    <mergeCell ref="D49:E49"/>
  </mergeCells>
  <conditionalFormatting sqref="D49:E49">
    <cfRule type="cellIs" dxfId="2" priority="2" stopIfTrue="1" operator="equal">
      <formula>"keine Note!"</formula>
    </cfRule>
    <cfRule type="cellIs" dxfId="1" priority="3" stopIfTrue="1" operator="equal">
      <formula>"$C$48=$H$48"</formula>
    </cfRule>
  </conditionalFormatting>
  <conditionalFormatting sqref="C47:E47">
    <cfRule type="cellIs" dxfId="0" priority="1" stopIfTrue="1" operator="equal">
      <formula>$H$47</formula>
    </cfRule>
  </conditionalFormatting>
  <dataValidations count="23">
    <dataValidation type="list" allowBlank="1" showInputMessage="1" showErrorMessage="1" sqref="C34">
      <formula1>$G$34:$J$34</formula1>
    </dataValidation>
    <dataValidation type="list" allowBlank="1" showInputMessage="1" showErrorMessage="1" sqref="C11">
      <formula1>$G$11:$L$11</formula1>
    </dataValidation>
    <dataValidation type="list" allowBlank="1" showInputMessage="1" showErrorMessage="1" sqref="C14">
      <formula1>$G$14:$K$14</formula1>
    </dataValidation>
    <dataValidation type="list" allowBlank="1" showInputMessage="1" showErrorMessage="1" sqref="C15">
      <formula1>$G$15:$L$15</formula1>
    </dataValidation>
    <dataValidation type="list" allowBlank="1" showInputMessage="1" showErrorMessage="1" sqref="C16">
      <formula1>$G$16:$L$16</formula1>
    </dataValidation>
    <dataValidation type="list" allowBlank="1" showInputMessage="1" showErrorMessage="1" sqref="C17">
      <formula1>$G$17:$K$17</formula1>
    </dataValidation>
    <dataValidation type="list" allowBlank="1" showInputMessage="1" showErrorMessage="1" sqref="C21">
      <formula1>$G$21:$L$21</formula1>
    </dataValidation>
    <dataValidation type="list" allowBlank="1" showInputMessage="1" showErrorMessage="1" sqref="C23">
      <formula1>$G$23:$L$23</formula1>
    </dataValidation>
    <dataValidation type="list" allowBlank="1" showInputMessage="1" showErrorMessage="1" sqref="C24">
      <formula1>$G$24:$L$24</formula1>
    </dataValidation>
    <dataValidation type="list" allowBlank="1" showInputMessage="1" showErrorMessage="1" sqref="C26">
      <formula1>$G$26:$L$26</formula1>
    </dataValidation>
    <dataValidation type="list" allowBlank="1" showInputMessage="1" showErrorMessage="1" sqref="C31">
      <formula1>$G$31:$L$31</formula1>
    </dataValidation>
    <dataValidation type="list" allowBlank="1" showInputMessage="1" showErrorMessage="1" sqref="C32">
      <formula1>$G$32:$L$32</formula1>
    </dataValidation>
    <dataValidation type="list" allowBlank="1" showInputMessage="1" showErrorMessage="1" sqref="C33">
      <formula1>$G$33:$L$33</formula1>
    </dataValidation>
    <dataValidation type="list" allowBlank="1" showInputMessage="1" showErrorMessage="1" sqref="C30">
      <formula1>$G$30:$L$30</formula1>
    </dataValidation>
    <dataValidation type="list" allowBlank="1" showInputMessage="1" showErrorMessage="1" sqref="C40">
      <formula1>$G$40:$L$40</formula1>
    </dataValidation>
    <dataValidation type="list" allowBlank="1" showInputMessage="1" showErrorMessage="1" sqref="C41">
      <formula1>$G$41:$L$41</formula1>
    </dataValidation>
    <dataValidation type="list" allowBlank="1" showInputMessage="1" showErrorMessage="1" sqref="C42">
      <formula1>$G$42:$L$42</formula1>
    </dataValidation>
    <dataValidation type="list" allowBlank="1" showInputMessage="1" showErrorMessage="1" sqref="C47">
      <formula1>$G$47:$I$47</formula1>
    </dataValidation>
    <dataValidation type="list" allowBlank="1" showInputMessage="1" showErrorMessage="1" sqref="D54">
      <formula1>$G$53:$G$53</formula1>
    </dataValidation>
    <dataValidation type="list" allowBlank="1" showInputMessage="1" showErrorMessage="1" sqref="C22">
      <formula1>$G$22:$L$22</formula1>
    </dataValidation>
    <dataValidation type="list" allowBlank="1" showInputMessage="1" showErrorMessage="1" sqref="C39">
      <formula1>$G$39:$L$39</formula1>
    </dataValidation>
    <dataValidation type="list" allowBlank="1" showInputMessage="1" showErrorMessage="1" sqref="C25">
      <formula1>$G$25:$L$25</formula1>
    </dataValidation>
    <dataValidation type="list" allowBlank="1" showInputMessage="1" showErrorMessage="1" sqref="C38">
      <formula1>$G$38:$L$38</formula1>
    </dataValidation>
  </dataValidations>
  <pageMargins left="0.98425196850393704" right="0.39370078740157483" top="0.39370078740157483" bottom="0.39370078740157483" header="0" footer="0.59055118110236227"/>
  <pageSetup paperSize="9" scale="95" orientation="portrait"/>
  <headerFooter alignWithMargins="0">
    <oddFooter>&amp;L&amp;"Arial,Standard"&amp;8&amp;F</oddFooter>
  </headerFooter>
  <ignoredErrors>
    <ignoredError sqref="E24 E33" formula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DA-Beurteilung</vt:lpstr>
    </vt:vector>
  </TitlesOfParts>
  <Company>TEKO Luzern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internet</dc:creator>
  <cp:lastModifiedBy>Urs Gloggner</cp:lastModifiedBy>
  <cp:lastPrinted>2015-11-21T08:33:33Z</cp:lastPrinted>
  <dcterms:created xsi:type="dcterms:W3CDTF">1997-12-02T15:00:08Z</dcterms:created>
  <dcterms:modified xsi:type="dcterms:W3CDTF">2016-03-03T18:03:17Z</dcterms:modified>
</cp:coreProperties>
</file>